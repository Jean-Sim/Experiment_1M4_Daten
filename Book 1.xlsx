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408" documentId="11_0B1D56BE9CDCCE836B02CE7A5FB0D4A9BBFD1C62" xr6:coauthVersionLast="47" xr6:coauthVersionMax="47" xr10:uidLastSave="{ED839484-0816-4F6B-AEA8-F66FDA3D27B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/>
  <c r="Q25" i="1"/>
  <c r="P24" i="1"/>
  <c r="P25" i="1"/>
  <c r="Q16" i="1"/>
  <c r="Q17" i="1"/>
  <c r="Q15" i="1"/>
  <c r="Q3" i="1"/>
  <c r="Q2" i="1"/>
  <c r="N3" i="1"/>
  <c r="N15" i="1"/>
  <c r="N16" i="1"/>
  <c r="N2" i="1"/>
  <c r="M15" i="1"/>
  <c r="O15" i="1"/>
  <c r="P15" i="1" s="1"/>
  <c r="M16" i="1"/>
  <c r="O16" i="1" s="1"/>
  <c r="P16" i="1" s="1"/>
  <c r="M4" i="1"/>
  <c r="M5" i="1"/>
  <c r="M6" i="1"/>
  <c r="M7" i="1"/>
  <c r="M8" i="1"/>
  <c r="M9" i="1"/>
  <c r="M10" i="1"/>
  <c r="M11" i="1"/>
  <c r="M17" i="1"/>
  <c r="M18" i="1"/>
  <c r="M19" i="1"/>
  <c r="M20" i="1"/>
  <c r="M21" i="1"/>
  <c r="M22" i="1"/>
  <c r="M23" i="1"/>
  <c r="M24" i="1"/>
  <c r="M2" i="1"/>
  <c r="O2" i="1"/>
  <c r="P2" i="1" s="1"/>
  <c r="M3" i="1"/>
  <c r="O3" i="1" s="1"/>
  <c r="P3" i="1" s="1"/>
  <c r="O24" i="1" l="1"/>
  <c r="N24" i="1"/>
  <c r="O11" i="1"/>
  <c r="P11" i="1" s="1"/>
  <c r="N11" i="1"/>
  <c r="Q11" i="1" s="1"/>
  <c r="O23" i="1"/>
  <c r="P23" i="1" s="1"/>
  <c r="N23" i="1"/>
  <c r="Q23" i="1" s="1"/>
  <c r="O10" i="1"/>
  <c r="P10" i="1" s="1"/>
  <c r="N10" i="1"/>
  <c r="Q10" i="1" s="1"/>
  <c r="O9" i="1"/>
  <c r="P9" i="1" s="1"/>
  <c r="N9" i="1"/>
  <c r="Q9" i="1" s="1"/>
  <c r="O22" i="1"/>
  <c r="P22" i="1" s="1"/>
  <c r="N22" i="1"/>
  <c r="Q22" i="1" s="1"/>
  <c r="O21" i="1"/>
  <c r="P21" i="1" s="1"/>
  <c r="N21" i="1"/>
  <c r="Q21" i="1" s="1"/>
  <c r="O8" i="1"/>
  <c r="P8" i="1" s="1"/>
  <c r="N8" i="1"/>
  <c r="Q8" i="1" s="1"/>
  <c r="O20" i="1"/>
  <c r="P20" i="1" s="1"/>
  <c r="N20" i="1"/>
  <c r="Q20" i="1" s="1"/>
  <c r="O7" i="1"/>
  <c r="P7" i="1" s="1"/>
  <c r="N7" i="1"/>
  <c r="Q7" i="1" s="1"/>
  <c r="O19" i="1"/>
  <c r="P19" i="1" s="1"/>
  <c r="N19" i="1"/>
  <c r="Q19" i="1" s="1"/>
  <c r="O6" i="1"/>
  <c r="P6" i="1" s="1"/>
  <c r="N6" i="1"/>
  <c r="Q6" i="1" s="1"/>
  <c r="O18" i="1"/>
  <c r="P18" i="1" s="1"/>
  <c r="N18" i="1"/>
  <c r="Q18" i="1" s="1"/>
  <c r="O5" i="1"/>
  <c r="P5" i="1" s="1"/>
  <c r="N5" i="1"/>
  <c r="O4" i="1"/>
  <c r="P4" i="1" s="1"/>
  <c r="N4" i="1"/>
  <c r="O17" i="1"/>
  <c r="P17" i="1" s="1"/>
  <c r="N17" i="1"/>
  <c r="Q5" i="1" l="1"/>
  <c r="Q4" i="1"/>
</calcChain>
</file>

<file path=xl/sharedStrings.xml><?xml version="1.0" encoding="utf-8"?>
<sst xmlns="http://schemas.openxmlformats.org/spreadsheetml/2006/main" count="33" uniqueCount="32">
  <si>
    <t>Messnummer</t>
  </si>
  <si>
    <t xml:space="preserve">Fallhöhen </t>
  </si>
  <si>
    <t>t11</t>
  </si>
  <si>
    <t>t21</t>
  </si>
  <si>
    <t>t31</t>
  </si>
  <si>
    <t>t41</t>
  </si>
  <si>
    <t>t51</t>
  </si>
  <si>
    <t>t61</t>
  </si>
  <si>
    <t>t71</t>
  </si>
  <si>
    <t>t81</t>
  </si>
  <si>
    <t>t91</t>
  </si>
  <si>
    <t>t101</t>
  </si>
  <si>
    <t xml:space="preserve">Mittelwert Digital </t>
  </si>
  <si>
    <t xml:space="preserve">Mittelwert^2 </t>
  </si>
  <si>
    <t>Standardabweichung Digigtal</t>
  </si>
  <si>
    <t xml:space="preserve">St. Fehler delta t auf mittelw. </t>
  </si>
  <si>
    <t xml:space="preserve">g Digital </t>
  </si>
  <si>
    <t xml:space="preserve">gleich wie oben </t>
  </si>
  <si>
    <t>t12</t>
  </si>
  <si>
    <t>t22</t>
  </si>
  <si>
    <t>t32</t>
  </si>
  <si>
    <t>t42</t>
  </si>
  <si>
    <t>t52</t>
  </si>
  <si>
    <t>t62</t>
  </si>
  <si>
    <t>t72</t>
  </si>
  <si>
    <t>t82</t>
  </si>
  <si>
    <t>tt92</t>
  </si>
  <si>
    <t>t102</t>
  </si>
  <si>
    <t xml:space="preserve">Mittelwert Oszilloskop </t>
  </si>
  <si>
    <t>Standardabweichung Os.</t>
  </si>
  <si>
    <t xml:space="preserve">St. Fehler auf MIttelwert Os. </t>
  </si>
  <si>
    <t xml:space="preserve">g 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</si>
</sst>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C1" workbookViewId="0">
      <selection activeCell="Q23" sqref="Q23:Q25"/>
    </sheetView>
  </sheetViews>
  <sheetFormatPr defaultRowHeight="15"/>
  <cols>
    <col min="1" max="1" width="21.28515625" customWidth="1"/>
    <col min="2" max="2" width="14.7109375" customWidth="1"/>
    <col min="13" max="14" width="26.42578125" customWidth="1"/>
    <col min="15" max="16" width="25.42578125" customWidth="1"/>
    <col min="17" max="17" width="15.5703125" customWidth="1"/>
    <col min="28" max="28" width="34" customWidth="1"/>
    <col min="29" max="29" width="24" customWidth="1"/>
    <col min="30" max="30" width="31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9.9000000000000005E-2</v>
      </c>
      <c r="C2">
        <v>143</v>
      </c>
      <c r="D2">
        <v>144</v>
      </c>
      <c r="E2">
        <v>143</v>
      </c>
      <c r="F2">
        <v>143</v>
      </c>
      <c r="G2">
        <v>143</v>
      </c>
      <c r="H2">
        <v>144</v>
      </c>
      <c r="I2">
        <v>143</v>
      </c>
      <c r="J2">
        <v>143</v>
      </c>
      <c r="K2">
        <v>144</v>
      </c>
      <c r="L2">
        <v>144</v>
      </c>
      <c r="M2">
        <f>SUM(C2+D2+E2+F2+G2+H2+I2+J2+K2+L2)/10</f>
        <v>143.4</v>
      </c>
      <c r="N2">
        <f>PRODUCT(M2,M2)</f>
        <v>20563.560000000001</v>
      </c>
      <c r="O2">
        <f>1/9*SUM((C2-M2)^2+(D2-M2)^2+(E2-M2)^2+(F2-M2)^2+(G2-M2)^2+(H2-M2)^2+(I2-M2)^2+(J2-M2)^2+(K2-M2)^2+(L2-M2)^2)/1000</f>
        <v>2.6666666666666668E-4</v>
      </c>
      <c r="P2">
        <f>PRODUCT(1/10,O2)</f>
        <v>2.666666666666667E-5</v>
      </c>
      <c r="Q2">
        <f>PRODUCT(2,B2,1/N2)</f>
        <v>9.6286829712364975E-6</v>
      </c>
    </row>
    <row r="3" spans="1:17">
      <c r="A3">
        <v>2</v>
      </c>
      <c r="B3">
        <v>0.14899999999999999</v>
      </c>
      <c r="C3">
        <v>175</v>
      </c>
      <c r="D3">
        <v>175</v>
      </c>
      <c r="E3">
        <v>175</v>
      </c>
      <c r="F3">
        <v>175</v>
      </c>
      <c r="G3">
        <v>175</v>
      </c>
      <c r="H3">
        <v>175</v>
      </c>
      <c r="I3">
        <v>175</v>
      </c>
      <c r="J3">
        <v>174</v>
      </c>
      <c r="K3">
        <v>175</v>
      </c>
      <c r="L3">
        <v>175</v>
      </c>
      <c r="M3">
        <f t="shared" ref="M3:M24" si="0">SUM(C3+D3+E3+F3+G3+H3+I3+J3+K3+L3)/10</f>
        <v>174.9</v>
      </c>
      <c r="N3">
        <f t="shared" ref="N3:N24" si="1">PRODUCT(M3,M3)</f>
        <v>30590.010000000002</v>
      </c>
      <c r="O3">
        <f>1/9*SUM((C3-M3)^2+(D3-M3)^2+(E3-M3)^2+(F3-M3)^2+(G3-M3)^2+(H3-M3)^2+(I3-M3)^2+(J3-M3)^2+(K3-M3)^2+(L3-M3)^2)/1000</f>
        <v>1E-4</v>
      </c>
      <c r="P3">
        <f t="shared" ref="P3:P25" si="2">PRODUCT(1/10,O3)</f>
        <v>1.0000000000000001E-5</v>
      </c>
      <c r="Q3">
        <f t="shared" ref="Q3:Q23" si="3">PRODUCT(2,B3,1/N3)</f>
        <v>9.7417424839024233E-6</v>
      </c>
    </row>
    <row r="4" spans="1:17">
      <c r="A4">
        <v>3</v>
      </c>
      <c r="B4">
        <v>0.19900000000000001</v>
      </c>
      <c r="C4">
        <v>201</v>
      </c>
      <c r="D4">
        <v>201</v>
      </c>
      <c r="E4">
        <v>202</v>
      </c>
      <c r="F4">
        <v>202</v>
      </c>
      <c r="G4">
        <v>201</v>
      </c>
      <c r="H4">
        <v>202</v>
      </c>
      <c r="I4">
        <v>202</v>
      </c>
      <c r="J4">
        <v>201</v>
      </c>
      <c r="K4">
        <v>202</v>
      </c>
      <c r="L4">
        <v>202</v>
      </c>
      <c r="M4">
        <f t="shared" si="0"/>
        <v>201.6</v>
      </c>
      <c r="N4">
        <f t="shared" si="1"/>
        <v>40642.559999999998</v>
      </c>
      <c r="O4">
        <f>1/9*SUM((C4-M4)^2+(D4-M4)^2+(E4-M4)^2+(F4-M4)^2+(G4-M4)^2+(H4-M4)^2+(I4-M4)^2+(J4-M4)^2+(K4-M4)^2+(L4-M4)^2)/1000</f>
        <v>2.6666666666666668E-4</v>
      </c>
      <c r="P4">
        <f t="shared" si="2"/>
        <v>2.666666666666667E-5</v>
      </c>
      <c r="Q4">
        <f t="shared" si="3"/>
        <v>9.7926902242378439E-6</v>
      </c>
    </row>
    <row r="5" spans="1:17">
      <c r="A5">
        <v>4</v>
      </c>
      <c r="B5">
        <v>0.249</v>
      </c>
      <c r="C5">
        <v>225</v>
      </c>
      <c r="D5">
        <v>225</v>
      </c>
      <c r="E5">
        <v>225</v>
      </c>
      <c r="F5">
        <v>225</v>
      </c>
      <c r="G5">
        <v>225</v>
      </c>
      <c r="H5">
        <v>225</v>
      </c>
      <c r="I5">
        <v>225</v>
      </c>
      <c r="J5">
        <v>225</v>
      </c>
      <c r="K5">
        <v>225</v>
      </c>
      <c r="L5">
        <v>225</v>
      </c>
      <c r="M5">
        <f t="shared" si="0"/>
        <v>225</v>
      </c>
      <c r="N5">
        <f t="shared" si="1"/>
        <v>50625</v>
      </c>
      <c r="O5">
        <f>1/9*SUM((C5-M5)^2+(D5-M5)^2+(E5-M5)^2+(F5-M5)^2+(G5-M5)^2+(H5-M5)^2+(I5-M5)^2+(J5-M5)^2+(K5-M5)^2+(L5-M5)^2)/1000</f>
        <v>0</v>
      </c>
      <c r="P5">
        <f t="shared" si="2"/>
        <v>0</v>
      </c>
      <c r="Q5">
        <f t="shared" si="3"/>
        <v>9.8370370370370378E-6</v>
      </c>
    </row>
    <row r="6" spans="1:17">
      <c r="A6">
        <v>6</v>
      </c>
      <c r="B6">
        <v>0.34899999999999998</v>
      </c>
      <c r="C6">
        <v>266</v>
      </c>
      <c r="D6">
        <v>266</v>
      </c>
      <c r="E6">
        <v>267</v>
      </c>
      <c r="F6">
        <v>267</v>
      </c>
      <c r="G6">
        <v>266</v>
      </c>
      <c r="H6">
        <v>267</v>
      </c>
      <c r="I6">
        <v>267</v>
      </c>
      <c r="J6">
        <v>266</v>
      </c>
      <c r="K6">
        <v>267</v>
      </c>
      <c r="L6">
        <v>266</v>
      </c>
      <c r="M6">
        <f t="shared" si="0"/>
        <v>266.5</v>
      </c>
      <c r="N6">
        <f t="shared" si="1"/>
        <v>71022.25</v>
      </c>
      <c r="O6">
        <f>1/9*SUM((C6-M6)^2+(D6-M6)^2+(E6-M6)^2+(F6-M6)^2+(G6-M6)^2+(H6-M6)^2+(I6-M6)^2+(J6-M6)^2+(K6-M6)^2+(L6-M6)^2)/1000</f>
        <v>2.7777777777777778E-4</v>
      </c>
      <c r="P6">
        <f t="shared" si="2"/>
        <v>2.7777777777777779E-5</v>
      </c>
      <c r="Q6">
        <f t="shared" si="3"/>
        <v>9.8279060435286108E-6</v>
      </c>
    </row>
    <row r="7" spans="1:17">
      <c r="A7">
        <v>8</v>
      </c>
      <c r="B7">
        <v>0.44900000000000001</v>
      </c>
      <c r="C7">
        <v>302</v>
      </c>
      <c r="D7">
        <v>302</v>
      </c>
      <c r="E7">
        <v>302</v>
      </c>
      <c r="F7">
        <v>302</v>
      </c>
      <c r="G7">
        <v>302</v>
      </c>
      <c r="H7">
        <v>302</v>
      </c>
      <c r="I7">
        <v>302</v>
      </c>
      <c r="J7">
        <v>302</v>
      </c>
      <c r="K7">
        <v>302</v>
      </c>
      <c r="L7">
        <v>302</v>
      </c>
      <c r="M7">
        <f t="shared" si="0"/>
        <v>302</v>
      </c>
      <c r="N7">
        <f t="shared" si="1"/>
        <v>91204</v>
      </c>
      <c r="O7">
        <f>1/9*SUM((C7-M7)^2+(D7-M7)^2+(E7-M7)^2+(F7-M7)^2+(G7-M7)^2+(H7-M7)^2+(I7-M7)^2+(J7-M7)^2+(K7-M7)^2+(L7-M7)^2)/1000</f>
        <v>0</v>
      </c>
      <c r="P7">
        <f t="shared" si="2"/>
        <v>0</v>
      </c>
      <c r="Q7">
        <f t="shared" si="3"/>
        <v>9.8460593833603797E-6</v>
      </c>
    </row>
    <row r="8" spans="1:17">
      <c r="A8">
        <v>10</v>
      </c>
      <c r="B8">
        <v>0.54900000000000004</v>
      </c>
      <c r="C8">
        <v>334</v>
      </c>
      <c r="D8">
        <v>334</v>
      </c>
      <c r="E8">
        <v>334</v>
      </c>
      <c r="F8">
        <v>334</v>
      </c>
      <c r="G8">
        <v>334</v>
      </c>
      <c r="H8">
        <v>334</v>
      </c>
      <c r="I8">
        <v>334</v>
      </c>
      <c r="J8">
        <v>334</v>
      </c>
      <c r="K8">
        <v>334</v>
      </c>
      <c r="L8">
        <v>334</v>
      </c>
      <c r="M8">
        <f t="shared" si="0"/>
        <v>334</v>
      </c>
      <c r="N8">
        <f t="shared" si="1"/>
        <v>111556</v>
      </c>
      <c r="O8">
        <f>1/9*SUM((C8-M8)^2+(D8-M8)^2+(E8-M8)^2+(F8-M8)^2+(G8-M8)^2+(H8-M8)^2+(I8-M8)^2+(J8-M8)^2+(K8-M8)^2+(L8-M8)^2)/1000</f>
        <v>0</v>
      </c>
      <c r="P8">
        <f t="shared" si="2"/>
        <v>0</v>
      </c>
      <c r="Q8">
        <f t="shared" si="3"/>
        <v>9.842590268564668E-6</v>
      </c>
    </row>
    <row r="9" spans="1:17">
      <c r="A9">
        <v>5</v>
      </c>
      <c r="B9">
        <v>0.64900000000000002</v>
      </c>
      <c r="C9">
        <v>363</v>
      </c>
      <c r="D9">
        <v>363</v>
      </c>
      <c r="E9">
        <v>363</v>
      </c>
      <c r="F9">
        <v>364</v>
      </c>
      <c r="G9">
        <v>363</v>
      </c>
      <c r="H9">
        <v>363</v>
      </c>
      <c r="I9">
        <v>363</v>
      </c>
      <c r="J9">
        <v>363</v>
      </c>
      <c r="K9">
        <v>363</v>
      </c>
      <c r="L9">
        <v>363</v>
      </c>
      <c r="M9">
        <f t="shared" si="0"/>
        <v>363.1</v>
      </c>
      <c r="N9">
        <f t="shared" si="1"/>
        <v>131841.61000000002</v>
      </c>
      <c r="O9">
        <f>1/9*SUM((C9-M9)^2+(D9-M9)^2+(E9-M9)^2+(F9-M9)^2+(G9-M9)^2+(H9-M9)^2+(I9-M9)^2+(J9-M9)^2+(K9-M9)^2+(L9-M9)^2)/1000</f>
        <v>1E-4</v>
      </c>
      <c r="P9">
        <f t="shared" si="2"/>
        <v>1.0000000000000001E-5</v>
      </c>
      <c r="Q9">
        <f t="shared" si="3"/>
        <v>9.845146763605207E-6</v>
      </c>
    </row>
    <row r="10" spans="1:17">
      <c r="A10">
        <v>7</v>
      </c>
      <c r="B10">
        <v>0.75900000000000001</v>
      </c>
      <c r="C10">
        <v>390</v>
      </c>
      <c r="D10">
        <v>390</v>
      </c>
      <c r="E10">
        <v>390</v>
      </c>
      <c r="F10">
        <v>390</v>
      </c>
      <c r="G10">
        <v>390</v>
      </c>
      <c r="H10">
        <v>390</v>
      </c>
      <c r="I10">
        <v>390</v>
      </c>
      <c r="J10">
        <v>390</v>
      </c>
      <c r="K10">
        <v>390</v>
      </c>
      <c r="L10">
        <v>390</v>
      </c>
      <c r="M10">
        <f t="shared" si="0"/>
        <v>390</v>
      </c>
      <c r="N10">
        <f t="shared" si="1"/>
        <v>152100</v>
      </c>
      <c r="O10">
        <f>1/9*SUM((C10-M10)^2+(D10-M10)^2+(E10-M10)^2+(F10-M10)^2+(G10-M10)^2+(H10-M10)^2+(I10-M10)^2+(J10-M10)^2+(K10-M10)^2+(L10-M10)^2)/1000</f>
        <v>0</v>
      </c>
      <c r="P10">
        <f t="shared" si="2"/>
        <v>0</v>
      </c>
      <c r="Q10">
        <f t="shared" si="3"/>
        <v>9.9802761341222878E-6</v>
      </c>
    </row>
    <row r="11" spans="1:17">
      <c r="A11">
        <v>9</v>
      </c>
      <c r="B11">
        <v>0.84899999999999998</v>
      </c>
      <c r="C11">
        <v>416</v>
      </c>
      <c r="D11">
        <v>416</v>
      </c>
      <c r="E11">
        <v>416</v>
      </c>
      <c r="F11">
        <v>416</v>
      </c>
      <c r="G11">
        <v>415</v>
      </c>
      <c r="H11">
        <v>416</v>
      </c>
      <c r="I11">
        <v>416</v>
      </c>
      <c r="J11">
        <v>416</v>
      </c>
      <c r="K11">
        <v>416</v>
      </c>
      <c r="L11">
        <v>416</v>
      </c>
      <c r="M11">
        <f t="shared" si="0"/>
        <v>415.9</v>
      </c>
      <c r="N11">
        <f t="shared" si="1"/>
        <v>172972.80999999997</v>
      </c>
      <c r="O11">
        <f>1/9*SUM((C11-M11)^2+(D11-M11)^2+(E11-M11)^2+(F11-M11)^2+(G11-M11)^2+(H11-M11)^2+(I11-M11)^2+(J11-M11)^2+(K11-M11)^2+(L11-M11)^2)/1000</f>
        <v>9.9999999999999991E-5</v>
      </c>
      <c r="P11">
        <f t="shared" si="2"/>
        <v>9.9999999999999991E-6</v>
      </c>
      <c r="Q11">
        <f t="shared" si="3"/>
        <v>9.8165717490511973E-6</v>
      </c>
    </row>
    <row r="14" spans="1:17"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13</v>
      </c>
      <c r="O14" t="s">
        <v>29</v>
      </c>
      <c r="P14" t="s">
        <v>30</v>
      </c>
      <c r="Q14" t="s">
        <v>31</v>
      </c>
    </row>
    <row r="15" spans="1:17">
      <c r="A15">
        <v>1</v>
      </c>
      <c r="C15">
        <v>142.47999999999999</v>
      </c>
      <c r="D15">
        <v>142.52000000000001</v>
      </c>
      <c r="E15">
        <v>142.47999999999999</v>
      </c>
      <c r="F15">
        <v>142.52000000000001</v>
      </c>
      <c r="G15">
        <v>142.4</v>
      </c>
      <c r="H15">
        <v>142.52000000000001</v>
      </c>
      <c r="I15">
        <v>142.56</v>
      </c>
      <c r="J15">
        <v>142.6</v>
      </c>
      <c r="K15">
        <v>142.63999999999999</v>
      </c>
      <c r="L15">
        <v>143.52000000000001</v>
      </c>
      <c r="M15">
        <f>SUM(C15+D15+E15+F15+G15+H15+I15+J15+K15+L15)/10</f>
        <v>142.62399999999997</v>
      </c>
      <c r="N15">
        <f t="shared" si="1"/>
        <v>20341.605375999992</v>
      </c>
      <c r="O15">
        <f>1/9*SUM((C15-M15)^2+(D15-M15)^2+(E15-M15)^2+(F15-M15)^2+(G15-M15)^2+(H15-M15)^2+(I15-M15)^2+(J15-M15)^2+(K15-M15)^2+(L15-M15)^2)/1000</f>
        <v>1.0353777777777942E-4</v>
      </c>
      <c r="P15">
        <f t="shared" si="2"/>
        <v>1.0353777777777942E-5</v>
      </c>
      <c r="Q15">
        <f>PRODUCT(2,B2,1/N15)</f>
        <v>9.7337450186507874E-6</v>
      </c>
    </row>
    <row r="16" spans="1:17">
      <c r="A16">
        <v>2</v>
      </c>
      <c r="C16">
        <v>173.52</v>
      </c>
      <c r="D16">
        <v>175.6</v>
      </c>
      <c r="E16">
        <v>173.6</v>
      </c>
      <c r="F16">
        <v>174.56</v>
      </c>
      <c r="G16">
        <v>173.54</v>
      </c>
      <c r="H16">
        <v>173.48</v>
      </c>
      <c r="I16">
        <v>173.6</v>
      </c>
      <c r="J16">
        <v>173.72</v>
      </c>
      <c r="K16">
        <v>173.4</v>
      </c>
      <c r="L16">
        <v>174.36</v>
      </c>
      <c r="M16">
        <f>SUM(C16+D16+E16+F16+G16+H16+I16+J16+K16+L16)/10</f>
        <v>173.93800000000002</v>
      </c>
      <c r="N16">
        <f t="shared" si="1"/>
        <v>30254.427844000005</v>
      </c>
      <c r="O16">
        <f>1/9*SUM((C16-M16)^2+(D16-M16)^2+(E16-M16)^2+(F16-M16)^2+(G16-M16)^2+(H16-M16)^2+(I16-M16)^2+(J16-M16)^2+(K16-M16)^2+(L16-M16)^2)/1000</f>
        <v>4.9284000000000047E-4</v>
      </c>
      <c r="P16">
        <f t="shared" si="2"/>
        <v>4.9284000000000052E-5</v>
      </c>
      <c r="Q16">
        <f t="shared" ref="Q16:Q25" si="4">PRODUCT(2,B3,1/N16)</f>
        <v>9.8497979051717135E-6</v>
      </c>
    </row>
    <row r="17" spans="1:17">
      <c r="A17">
        <v>3</v>
      </c>
      <c r="C17">
        <v>201.64</v>
      </c>
      <c r="D17">
        <v>202.48</v>
      </c>
      <c r="E17">
        <v>202.64</v>
      </c>
      <c r="F17">
        <v>202.6</v>
      </c>
      <c r="G17">
        <v>202.9</v>
      </c>
      <c r="H17">
        <v>202.08</v>
      </c>
      <c r="I17">
        <v>202.88</v>
      </c>
      <c r="J17">
        <v>201.96</v>
      </c>
      <c r="K17">
        <v>201.92</v>
      </c>
      <c r="L17">
        <v>202.96</v>
      </c>
      <c r="M17">
        <f t="shared" si="0"/>
        <v>202.40600000000001</v>
      </c>
      <c r="N17">
        <f t="shared" si="1"/>
        <v>40968.188836000001</v>
      </c>
      <c r="O17">
        <f>1/9*SUM((C17-M17)^2+(D17-M17)^2+(E17-M17)^2+(F17-M17)^2+(G17-M17)^2+(H17-M17)^2+(I17-M17)^2+(J17-M17)^2+(K17-M17)^2+(L17-M17)^2)/1000</f>
        <v>2.2240444444444641E-4</v>
      </c>
      <c r="P17">
        <f t="shared" si="2"/>
        <v>2.2240444444444644E-5</v>
      </c>
      <c r="Q17">
        <f t="shared" si="4"/>
        <v>9.7148546545036729E-6</v>
      </c>
    </row>
    <row r="18" spans="1:17">
      <c r="A18">
        <v>4</v>
      </c>
      <c r="C18">
        <v>225.44</v>
      </c>
      <c r="D18">
        <v>225.64</v>
      </c>
      <c r="E18">
        <v>225.28</v>
      </c>
      <c r="F18">
        <v>225.16</v>
      </c>
      <c r="G18">
        <v>225.8</v>
      </c>
      <c r="H18">
        <v>225.84</v>
      </c>
      <c r="I18">
        <v>225.12</v>
      </c>
      <c r="J18">
        <v>225.96</v>
      </c>
      <c r="K18">
        <v>225.96</v>
      </c>
      <c r="L18">
        <v>225.6</v>
      </c>
      <c r="M18">
        <f t="shared" si="0"/>
        <v>225.57999999999998</v>
      </c>
      <c r="N18">
        <f t="shared" si="1"/>
        <v>50886.336399999993</v>
      </c>
      <c r="O18">
        <f>1/9*SUM((C18-M18)^2+(D18-M18)^2+(E18-M18)^2+(F18-M18)^2+(G18-M18)^2+(H18-M18)^2+(I18-M18)^2+(J18-M18)^2+(K18-M18)^2+(L18-M18)^2)/1000</f>
        <v>1.0071111111111284E-4</v>
      </c>
      <c r="P18">
        <f t="shared" si="2"/>
        <v>1.0071111111111284E-5</v>
      </c>
      <c r="Q18">
        <f t="shared" si="4"/>
        <v>9.7865170737659954E-6</v>
      </c>
    </row>
    <row r="19" spans="1:17">
      <c r="A19">
        <v>6</v>
      </c>
      <c r="C19">
        <v>267.39999999999998</v>
      </c>
      <c r="D19">
        <v>265.52</v>
      </c>
      <c r="E19">
        <v>267.48</v>
      </c>
      <c r="F19">
        <v>265.48</v>
      </c>
      <c r="G19">
        <v>267.44</v>
      </c>
      <c r="H19">
        <v>267.48</v>
      </c>
      <c r="I19">
        <v>267.52</v>
      </c>
      <c r="J19">
        <v>267.48</v>
      </c>
      <c r="K19">
        <v>265.56</v>
      </c>
      <c r="L19">
        <v>267.44</v>
      </c>
      <c r="M19">
        <f t="shared" si="0"/>
        <v>266.88</v>
      </c>
      <c r="N19">
        <f t="shared" si="1"/>
        <v>71224.934399999998</v>
      </c>
      <c r="O19">
        <f>1/9*SUM((C19-M19)^2+(D19-M19)^2+(E19-M19)^2+(F19-M19)^2+(G19-M19)^2+(H19-M19)^2+(I19-M19)^2+(J19-M19)^2+(K19-M19)^2+(L19-M19)^2)/1000</f>
        <v>8.8213333333333392E-4</v>
      </c>
      <c r="P19">
        <f t="shared" si="2"/>
        <v>8.8213333333333392E-5</v>
      </c>
      <c r="Q19">
        <f t="shared" si="4"/>
        <v>9.7999388259176828E-6</v>
      </c>
    </row>
    <row r="20" spans="1:17">
      <c r="A20">
        <v>8</v>
      </c>
      <c r="C20">
        <v>303.64</v>
      </c>
      <c r="D20">
        <v>303.68</v>
      </c>
      <c r="E20">
        <v>303.52</v>
      </c>
      <c r="F20">
        <v>303.56</v>
      </c>
      <c r="G20">
        <v>303.44</v>
      </c>
      <c r="H20">
        <v>301.36</v>
      </c>
      <c r="I20">
        <v>301.44</v>
      </c>
      <c r="J20">
        <v>301.52</v>
      </c>
      <c r="K20">
        <v>301.39999999999998</v>
      </c>
      <c r="L20">
        <v>303.44</v>
      </c>
      <c r="M20">
        <f t="shared" si="0"/>
        <v>302.7</v>
      </c>
      <c r="N20">
        <f t="shared" si="1"/>
        <v>91627.29</v>
      </c>
      <c r="O20">
        <f>1/9*SUM((C20-M20)^2+(D20-M20)^2+(E20-M20)^2+(F20-M20)^2+(G20-M20)^2+(H20-M20)^2+(I20-M20)^2+(J20-M20)^2+(K20-M20)^2+(L20-M20)^2)/1000</f>
        <v>1.2018666666666696E-3</v>
      </c>
      <c r="P20">
        <f t="shared" si="2"/>
        <v>1.2018666666666696E-4</v>
      </c>
      <c r="Q20">
        <f t="shared" si="4"/>
        <v>9.8005736064004518E-6</v>
      </c>
    </row>
    <row r="21" spans="1:17">
      <c r="A21">
        <v>10</v>
      </c>
      <c r="C21">
        <v>333.64</v>
      </c>
      <c r="D21">
        <v>335.52</v>
      </c>
      <c r="E21">
        <v>335.44</v>
      </c>
      <c r="F21">
        <v>335.48</v>
      </c>
      <c r="G21">
        <v>335.56</v>
      </c>
      <c r="H21">
        <v>335.44</v>
      </c>
      <c r="I21">
        <v>334.48</v>
      </c>
      <c r="J21">
        <v>335.56</v>
      </c>
      <c r="K21">
        <v>335.44</v>
      </c>
      <c r="L21">
        <v>335.36</v>
      </c>
      <c r="M21">
        <f t="shared" si="0"/>
        <v>335.19200000000001</v>
      </c>
      <c r="N21">
        <f t="shared" si="1"/>
        <v>112353.67686400001</v>
      </c>
      <c r="O21">
        <f>1/9*SUM((C21-M21)^2+(D21-M21)^2+(E21-M21)^2+(F21-M21)^2+(G21-M21)^2+(H21-M21)^2+(I21-M21)^2+(J21-M21)^2+(K21-M21)^2+(L21-M21)^2)/1000</f>
        <v>3.9886222222222439E-4</v>
      </c>
      <c r="P21">
        <f t="shared" si="2"/>
        <v>3.9886222222222439E-5</v>
      </c>
      <c r="Q21">
        <f t="shared" si="4"/>
        <v>9.7727108773581899E-6</v>
      </c>
    </row>
    <row r="22" spans="1:17">
      <c r="A22">
        <v>5</v>
      </c>
      <c r="C22">
        <v>363.52</v>
      </c>
      <c r="D22">
        <v>363.48</v>
      </c>
      <c r="E22">
        <v>363.52</v>
      </c>
      <c r="F22">
        <v>363.44</v>
      </c>
      <c r="G22">
        <v>364.52</v>
      </c>
      <c r="H22">
        <v>363.56</v>
      </c>
      <c r="I22">
        <v>363.48</v>
      </c>
      <c r="J22">
        <v>363.4</v>
      </c>
      <c r="K22">
        <v>363.6</v>
      </c>
      <c r="L22">
        <v>364.56</v>
      </c>
      <c r="M22">
        <f t="shared" si="0"/>
        <v>363.70799999999997</v>
      </c>
      <c r="N22">
        <f t="shared" si="1"/>
        <v>132283.50926399996</v>
      </c>
      <c r="O22">
        <f>1/9*SUM((C22-M22)^2+(D22-M22)^2+(E22-M22)^2+(F22-M22)^2+(G22-M22)^2+(H22-M22)^2+(I22-M22)^2+(J22-M22)^2+(K22-M22)^2+(L22-M22)^2)/1000</f>
        <v>1.9557333333333125E-4</v>
      </c>
      <c r="P22">
        <f t="shared" si="2"/>
        <v>1.9557333333333127E-5</v>
      </c>
      <c r="Q22">
        <f t="shared" si="4"/>
        <v>9.8122585893118713E-6</v>
      </c>
    </row>
    <row r="23" spans="1:17">
      <c r="A23">
        <v>7</v>
      </c>
      <c r="C23">
        <v>391.56</v>
      </c>
      <c r="D23">
        <v>391.52</v>
      </c>
      <c r="E23">
        <v>391</v>
      </c>
      <c r="F23">
        <v>391.56</v>
      </c>
      <c r="G23">
        <v>389.48</v>
      </c>
      <c r="H23">
        <v>391.64</v>
      </c>
      <c r="I23">
        <v>391.48</v>
      </c>
      <c r="J23">
        <v>389.4</v>
      </c>
      <c r="K23">
        <v>389.4</v>
      </c>
      <c r="L23">
        <v>391.52</v>
      </c>
      <c r="M23">
        <f t="shared" si="0"/>
        <v>390.85599999999999</v>
      </c>
      <c r="N23">
        <f t="shared" si="1"/>
        <v>152768.412736</v>
      </c>
      <c r="O23">
        <f>1/9*SUM((C23-M23)^2+(D23-M23)^2+(E23-M23)^2+(F23-M23)^2+(G23-M23)^2+(H23-M23)^2+(I23-M23)^2+(J23-M23)^2+(K23-M23)^2+(L23-M23)^2)/1000</f>
        <v>1.0034488888888936E-3</v>
      </c>
      <c r="P23">
        <f t="shared" si="2"/>
        <v>1.0034488888888936E-4</v>
      </c>
      <c r="Q23">
        <f t="shared" si="4"/>
        <v>9.9366090987884043E-6</v>
      </c>
    </row>
    <row r="24" spans="1:17">
      <c r="A24">
        <v>9</v>
      </c>
      <c r="C24">
        <v>415.56</v>
      </c>
      <c r="D24">
        <v>415.52</v>
      </c>
      <c r="E24">
        <v>415.48</v>
      </c>
      <c r="F24">
        <v>415.6</v>
      </c>
      <c r="G24">
        <v>415.8</v>
      </c>
      <c r="H24">
        <v>415.56</v>
      </c>
      <c r="I24">
        <v>415.68</v>
      </c>
      <c r="J24">
        <v>417.6</v>
      </c>
      <c r="K24">
        <v>416.56</v>
      </c>
      <c r="L24">
        <v>415.52</v>
      </c>
      <c r="M24">
        <f t="shared" si="0"/>
        <v>415.88799999999992</v>
      </c>
      <c r="N24">
        <f t="shared" si="1"/>
        <v>172962.82854399993</v>
      </c>
      <c r="O24">
        <f>1/9*SUM((C24-M24)^2+(D24-M24)^2+(E24-M24)^2+(F24-M24)^2+(G24-M24)^2+(H24-M24)^2+(I24-M24)^2+(J24-M24)^2+(K24-M24)^2+(L24-M24)^2)/1000</f>
        <v>4.6321777777778579E-4</v>
      </c>
      <c r="P24">
        <f t="shared" si="2"/>
        <v>4.6321777777778583E-5</v>
      </c>
      <c r="Q24">
        <f t="shared" si="4"/>
        <v>9.8171382504192026E-6</v>
      </c>
    </row>
    <row r="25" spans="1:17">
      <c r="P25">
        <f t="shared" si="2"/>
        <v>0.1</v>
      </c>
      <c r="Q25" t="e">
        <f t="shared" si="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Edelhofer</cp:lastModifiedBy>
  <cp:revision/>
  <dcterms:created xsi:type="dcterms:W3CDTF">2025-12-11T13:48:10Z</dcterms:created>
  <dcterms:modified xsi:type="dcterms:W3CDTF">2025-12-11T15:57:20Z</dcterms:modified>
  <cp:category/>
  <cp:contentStatus/>
</cp:coreProperties>
</file>